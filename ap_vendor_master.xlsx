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copilot-cowork-demo-suite\demo-pack\"/>
    </mc:Choice>
  </mc:AlternateContent>
  <xr:revisionPtr revIDLastSave="0" documentId="13_ncr:1_{BD9637C8-1D98-4834-A173-650B8F153B1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Vendor Master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B17" i="1"/>
  <c r="Q14" i="1"/>
  <c r="Q13" i="1"/>
  <c r="Q12" i="1"/>
  <c r="Q11" i="1"/>
  <c r="Q10" i="1"/>
  <c r="Q9" i="1"/>
  <c r="Q8" i="1"/>
  <c r="Q7" i="1"/>
  <c r="Q6" i="1"/>
  <c r="Q5" i="1"/>
</calcChain>
</file>

<file path=xl/sharedStrings.xml><?xml version="1.0" encoding="utf-8"?>
<sst xmlns="http://schemas.openxmlformats.org/spreadsheetml/2006/main" count="162" uniqueCount="119">
  <si>
    <t>Accounts Payable Vendor Master</t>
  </si>
  <si>
    <t>Synthetic demo data. Status, tax, currency and category controls are authoritative for invoice matching.</t>
  </si>
  <si>
    <t>Vendor ID</t>
  </si>
  <si>
    <t>Legal Name</t>
  </si>
  <si>
    <t>Status</t>
  </si>
  <si>
    <t>Default Currency</t>
  </si>
  <si>
    <t>Country</t>
  </si>
  <si>
    <t>Tax Registration ID</t>
  </si>
  <si>
    <t>Tax Code</t>
  </si>
  <si>
    <t>Tax Rate</t>
  </si>
  <si>
    <t>Payment Terms</t>
  </si>
  <si>
    <t>AP Owner</t>
  </si>
  <si>
    <t>Contact Name</t>
  </si>
  <si>
    <t>Contact Email</t>
  </si>
  <si>
    <t>Risk Tier</t>
  </si>
  <si>
    <t>Approved Categories</t>
  </si>
  <si>
    <t>Last Review Date</t>
  </si>
  <si>
    <t>Bank Verification</t>
  </si>
  <si>
    <t>PO Eligible</t>
  </si>
  <si>
    <t>V100</t>
  </si>
  <si>
    <t>AeroCraft Components Ltd.</t>
  </si>
  <si>
    <t>Active</t>
  </si>
  <si>
    <t>USD</t>
  </si>
  <si>
    <t>United States</t>
  </si>
  <si>
    <t>US-CO-884210</t>
  </si>
  <si>
    <t>US-CO-0825</t>
  </si>
  <si>
    <t>Net 30</t>
  </si>
  <si>
    <t>Maya Chen</t>
  </si>
  <si>
    <t>Evelyn Hart</t>
  </si>
  <si>
    <t>evelyn.hart@aerocraft-components.example</t>
  </si>
  <si>
    <t>Medium</t>
  </si>
  <si>
    <t>Precision Components; Maintenance Parts</t>
  </si>
  <si>
    <t>Verified</t>
  </si>
  <si>
    <t>V200</t>
  </si>
  <si>
    <t>Northlake Office Systems B.V.</t>
  </si>
  <si>
    <t>EUR</t>
  </si>
  <si>
    <t>Netherlands</t>
  </si>
  <si>
    <t>NL-8264.19.771.B01</t>
  </si>
  <si>
    <t>NL-STD-21</t>
  </si>
  <si>
    <t>Oliver Grant</t>
  </si>
  <si>
    <t>Sanne de Vries</t>
  </si>
  <si>
    <t>sanne.devries@northlake-office.example</t>
  </si>
  <si>
    <t>Low</t>
  </si>
  <si>
    <t>Office Technology; Ergonomic Equipment</t>
  </si>
  <si>
    <t>V300</t>
  </si>
  <si>
    <t>FableForge Equipment GmbH</t>
  </si>
  <si>
    <t>Germany</t>
  </si>
  <si>
    <t>DE318742915</t>
  </si>
  <si>
    <t>DE-STD-19</t>
  </si>
  <si>
    <t>Net 45</t>
  </si>
  <si>
    <t>Priya Nair</t>
  </si>
  <si>
    <t>Jonas Keller</t>
  </si>
  <si>
    <t>jonas.keller@fableforge-equipment.example</t>
  </si>
  <si>
    <t>Production Equipment; Tooling</t>
  </si>
  <si>
    <t>V400</t>
  </si>
  <si>
    <t>Cedar Coast Packaging Inc.</t>
  </si>
  <si>
    <t>US-OR-552091</t>
  </si>
  <si>
    <t>US-OR-0725</t>
  </si>
  <si>
    <t>Riley Morgan</t>
  </si>
  <si>
    <t>riley.morgan@cedarcoast-packaging.example</t>
  </si>
  <si>
    <t>Packaging; Warehouse Consumables</t>
  </si>
  <si>
    <t>V500</t>
  </si>
  <si>
    <t>TerraScribe Logistics Ltd.</t>
  </si>
  <si>
    <t>GBP</t>
  </si>
  <si>
    <t>United Kingdom</t>
  </si>
  <si>
    <t>GB209884317</t>
  </si>
  <si>
    <t>GB-STD-20</t>
  </si>
  <si>
    <t>Amelia Stone</t>
  </si>
  <si>
    <t>amelia.stone@terrascribe-logistics.example</t>
  </si>
  <si>
    <t>Transit Equipment; Logistics Supplies</t>
  </si>
  <si>
    <t>V600</t>
  </si>
  <si>
    <t>LuminaTech Analytics S.A.S.</t>
  </si>
  <si>
    <t>France</t>
  </si>
  <si>
    <t>FR42 819274650</t>
  </si>
  <si>
    <t>FR-STD-20</t>
  </si>
  <si>
    <t>Luc Moreau</t>
  </si>
  <si>
    <t>luc.moreau@luminatech-analytics.example</t>
  </si>
  <si>
    <t>High</t>
  </si>
  <si>
    <t>Inspection Sensors; Analytics Hardware</t>
  </si>
  <si>
    <t>V700</t>
  </si>
  <si>
    <t>Meridian Safety Supply AB</t>
  </si>
  <si>
    <t>SEK</t>
  </si>
  <si>
    <t>Sweden</t>
  </si>
  <si>
    <t>SE559188-4421</t>
  </si>
  <si>
    <t>SE-STD-25</t>
  </si>
  <si>
    <t>Elsa Lind</t>
  </si>
  <si>
    <t>elsa.lind@meridian-safety.example</t>
  </si>
  <si>
    <t>Safety Equipment; PPE</t>
  </si>
  <si>
    <t>V800</t>
  </si>
  <si>
    <t>BluePeak Facility Services Pty Ltd.</t>
  </si>
  <si>
    <t>On Hold</t>
  </si>
  <si>
    <t>AUD</t>
  </si>
  <si>
    <t>Australia</t>
  </si>
  <si>
    <t>AU83 901 447 228</t>
  </si>
  <si>
    <t>AU-GST-10</t>
  </si>
  <si>
    <t>Noah Bennett</t>
  </si>
  <si>
    <t>noah.bennett@bluepeak-facilities.example</t>
  </si>
  <si>
    <t>Facility Services; Building Maintenance</t>
  </si>
  <si>
    <t>V900</t>
  </si>
  <si>
    <t>Quillstone IT Services Inc.</t>
  </si>
  <si>
    <t>US-WA-774120</t>
  </si>
  <si>
    <t>US-WA-0650</t>
  </si>
  <si>
    <t>Harper Cole</t>
  </si>
  <si>
    <t>harper.cole@quillstone-it.example</t>
  </si>
  <si>
    <t>IT Services; Network Equipment; Software</t>
  </si>
  <si>
    <t>V1000</t>
  </si>
  <si>
    <t>Redleaf Catering Cooperative</t>
  </si>
  <si>
    <t>Suspended</t>
  </si>
  <si>
    <t>Ireland</t>
  </si>
  <si>
    <t>IE9R88217K</t>
  </si>
  <si>
    <t>IE-STD-23</t>
  </si>
  <si>
    <t>Due on Receipt</t>
  </si>
  <si>
    <t>Aoife Byrne</t>
  </si>
  <si>
    <t>aoife.byrne@redleaf-catering.example</t>
  </si>
  <si>
    <t>Catering; Events</t>
  </si>
  <si>
    <t>Pending Reverification</t>
  </si>
  <si>
    <t>Control totals</t>
  </si>
  <si>
    <t>vendors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</si>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</sst>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 mmm\ yyyy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9"/>
      <color rgb="FF666666"/>
      <name val="Arial"/>
    </font>
    <font>
      <b/>
      <sz val="9"/>
      <color rgb="FFFFFFFF"/>
      <name val="Arial"/>
    </font>
    <font>
      <sz val="9"/>
      <color rgb="FF0000FF"/>
      <name val="Arial"/>
    </font>
    <font>
      <sz val="9"/>
      <color rgb="FF000000"/>
      <name val="Arial"/>
    </font>
    <font>
      <b/>
      <sz val="11"/>
      <color rgb="FF17365D"/>
      <name val="Arial"/>
    </font>
    <font>
      <b/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2F75B5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C7D3DD"/>
      </left>
      <right style="thin">
        <color rgb="FFC7D3DD"/>
      </right>
      <top style="thin">
        <color rgb="FFC7D3DD"/>
      </top>
      <bottom style="thin">
        <color rgb="FFC7D3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0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Standard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Master" displayName="VendorMaster" ref="A4:Q14">
  <autoFilter ref="A4:Q14" xr:uid="{00000000-0009-0000-0100-000001000000}"/>
  <tableColumns count="17">
    <tableColumn id="1" xr3:uid="{00000000-0010-0000-0000-000001000000}" name="Vendor ID"/>
    <tableColumn id="2" xr3:uid="{00000000-0010-0000-0000-000002000000}" name="Legal Name"/>
    <tableColumn id="3" xr3:uid="{00000000-0010-0000-0000-000003000000}" name="Status"/>
    <tableColumn id="4" xr3:uid="{00000000-0010-0000-0000-000004000000}" name="Default Currency"/>
    <tableColumn id="5" xr3:uid="{00000000-0010-0000-0000-000005000000}" name="Country"/>
    <tableColumn id="6" xr3:uid="{00000000-0010-0000-0000-000006000000}" name="Tax Registration ID"/>
    <tableColumn id="7" xr3:uid="{00000000-0010-0000-0000-000007000000}" name="Tax Code"/>
    <tableColumn id="8" xr3:uid="{00000000-0010-0000-0000-000008000000}" name="Tax Rate"/>
    <tableColumn id="9" xr3:uid="{00000000-0010-0000-0000-000009000000}" name="Payment Terms"/>
    <tableColumn id="10" xr3:uid="{00000000-0010-0000-0000-00000A000000}" name="AP Owner"/>
    <tableColumn id="11" xr3:uid="{00000000-0010-0000-0000-00000B000000}" name="Contact Name"/>
    <tableColumn id="12" xr3:uid="{00000000-0010-0000-0000-00000C000000}" name="Contact Email"/>
    <tableColumn id="13" xr3:uid="{00000000-0010-0000-0000-00000D000000}" name="Risk Tier"/>
    <tableColumn id="14" xr3:uid="{00000000-0010-0000-0000-00000E000000}" name="Approved Categories"/>
    <tableColumn id="15" xr3:uid="{00000000-0010-0000-0000-00000F000000}" name="Last Review Date"/>
    <tableColumn id="16" xr3:uid="{00000000-0010-0000-0000-000010000000}" name="Bank Verification"/>
    <tableColumn id="17" xr3:uid="{00000000-0010-0000-0000-000011000000}" name="PO Eligi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showGridLines="0" tabSelected="1" workbookViewId="0">
      <pane ySplit="4" topLeftCell="A5" activePane="bottomLeft" state="frozen"/>
      <selection pane="bottomLeft" sqref="A1:Q1"/>
    </sheetView>
  </sheetViews>
  <sheetFormatPr baseColWidth="10" defaultColWidth="9.140625" defaultRowHeight="15" x14ac:dyDescent="0.25"/>
  <cols>
    <col min="1" max="1" width="12" customWidth="1"/>
    <col min="2" max="2" width="32" customWidth="1"/>
    <col min="3" max="3" width="13" customWidth="1"/>
    <col min="4" max="4" width="16" customWidth="1"/>
    <col min="5" max="5" width="18" customWidth="1"/>
    <col min="6" max="6" width="22" customWidth="1"/>
    <col min="7" max="7" width="16" customWidth="1"/>
    <col min="8" max="8" width="12" customWidth="1"/>
    <col min="9" max="10" width="18" customWidth="1"/>
    <col min="11" max="11" width="20" customWidth="1"/>
    <col min="12" max="12" width="38" customWidth="1"/>
    <col min="13" max="13" width="12" customWidth="1"/>
    <col min="14" max="14" width="42" customWidth="1"/>
    <col min="15" max="15" width="16" customWidth="1"/>
    <col min="16" max="16" width="20" customWidth="1"/>
    <col min="17" max="17" width="14" customWidth="1"/>
  </cols>
  <sheetData>
    <row r="1" spans="1:17" ht="30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27.9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4" spans="1:17" ht="33.950000000000003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3">
        <v>8.2500000000000004E-2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4">
        <v>46188</v>
      </c>
      <c r="P5" s="2" t="s">
        <v>32</v>
      </c>
      <c r="Q5" s="5" t="str">
        <f t="shared" ref="Q5:Q14" si="0">IF(AND(C5="Active",P5="Verified",N5&lt;&gt;""),"Yes","No")</f>
        <v>Yes</v>
      </c>
    </row>
    <row r="6" spans="1:17" x14ac:dyDescent="0.25">
      <c r="A6" s="2" t="s">
        <v>33</v>
      </c>
      <c r="B6" s="2" t="s">
        <v>34</v>
      </c>
      <c r="C6" s="2" t="s">
        <v>21</v>
      </c>
      <c r="D6" s="2" t="s">
        <v>35</v>
      </c>
      <c r="E6" s="2" t="s">
        <v>36</v>
      </c>
      <c r="F6" s="2" t="s">
        <v>37</v>
      </c>
      <c r="G6" s="2" t="s">
        <v>38</v>
      </c>
      <c r="H6" s="3">
        <v>0.21</v>
      </c>
      <c r="I6" s="2" t="s">
        <v>26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43</v>
      </c>
      <c r="O6" s="4">
        <v>46170</v>
      </c>
      <c r="P6" s="2" t="s">
        <v>32</v>
      </c>
      <c r="Q6" s="5" t="str">
        <f t="shared" si="0"/>
        <v>Yes</v>
      </c>
    </row>
    <row r="7" spans="1:17" x14ac:dyDescent="0.25">
      <c r="A7" s="2" t="s">
        <v>44</v>
      </c>
      <c r="B7" s="2" t="s">
        <v>45</v>
      </c>
      <c r="C7" s="2" t="s">
        <v>21</v>
      </c>
      <c r="D7" s="2" t="s">
        <v>35</v>
      </c>
      <c r="E7" s="2" t="s">
        <v>46</v>
      </c>
      <c r="F7" s="2" t="s">
        <v>47</v>
      </c>
      <c r="G7" s="2" t="s">
        <v>48</v>
      </c>
      <c r="H7" s="3">
        <v>0.19</v>
      </c>
      <c r="I7" s="2" t="s">
        <v>49</v>
      </c>
      <c r="J7" s="2" t="s">
        <v>50</v>
      </c>
      <c r="K7" s="2" t="s">
        <v>51</v>
      </c>
      <c r="L7" s="2" t="s">
        <v>52</v>
      </c>
      <c r="M7" s="2" t="s">
        <v>30</v>
      </c>
      <c r="N7" s="2" t="s">
        <v>53</v>
      </c>
      <c r="O7" s="4">
        <v>46122</v>
      </c>
      <c r="P7" s="2" t="s">
        <v>32</v>
      </c>
      <c r="Q7" s="5" t="str">
        <f t="shared" si="0"/>
        <v>Yes</v>
      </c>
    </row>
    <row r="8" spans="1:17" x14ac:dyDescent="0.25">
      <c r="A8" s="2" t="s">
        <v>54</v>
      </c>
      <c r="B8" s="2" t="s">
        <v>55</v>
      </c>
      <c r="C8" s="2" t="s">
        <v>21</v>
      </c>
      <c r="D8" s="2" t="s">
        <v>22</v>
      </c>
      <c r="E8" s="2" t="s">
        <v>23</v>
      </c>
      <c r="F8" s="2" t="s">
        <v>56</v>
      </c>
      <c r="G8" s="2" t="s">
        <v>57</v>
      </c>
      <c r="H8" s="3">
        <v>7.2499999999999995E-2</v>
      </c>
      <c r="I8" s="2" t="s">
        <v>26</v>
      </c>
      <c r="J8" s="2" t="s">
        <v>27</v>
      </c>
      <c r="K8" s="2" t="s">
        <v>58</v>
      </c>
      <c r="L8" s="2" t="s">
        <v>59</v>
      </c>
      <c r="M8" s="2" t="s">
        <v>42</v>
      </c>
      <c r="N8" s="2" t="s">
        <v>60</v>
      </c>
      <c r="O8" s="4">
        <v>46205</v>
      </c>
      <c r="P8" s="2" t="s">
        <v>32</v>
      </c>
      <c r="Q8" s="5" t="str">
        <f t="shared" si="0"/>
        <v>Yes</v>
      </c>
    </row>
    <row r="9" spans="1:17" x14ac:dyDescent="0.25">
      <c r="A9" s="2" t="s">
        <v>61</v>
      </c>
      <c r="B9" s="2" t="s">
        <v>62</v>
      </c>
      <c r="C9" s="2" t="s">
        <v>21</v>
      </c>
      <c r="D9" s="2" t="s">
        <v>63</v>
      </c>
      <c r="E9" s="2" t="s">
        <v>64</v>
      </c>
      <c r="F9" s="2" t="s">
        <v>65</v>
      </c>
      <c r="G9" s="2" t="s">
        <v>66</v>
      </c>
      <c r="H9" s="3">
        <v>0.2</v>
      </c>
      <c r="I9" s="2" t="s">
        <v>26</v>
      </c>
      <c r="J9" s="2" t="s">
        <v>39</v>
      </c>
      <c r="K9" s="2" t="s">
        <v>67</v>
      </c>
      <c r="L9" s="2" t="s">
        <v>68</v>
      </c>
      <c r="M9" s="2" t="s">
        <v>30</v>
      </c>
      <c r="N9" s="2" t="s">
        <v>69</v>
      </c>
      <c r="O9" s="4">
        <v>46100</v>
      </c>
      <c r="P9" s="2" t="s">
        <v>32</v>
      </c>
      <c r="Q9" s="5" t="str">
        <f t="shared" si="0"/>
        <v>Yes</v>
      </c>
    </row>
    <row r="10" spans="1:17" x14ac:dyDescent="0.25">
      <c r="A10" s="2" t="s">
        <v>70</v>
      </c>
      <c r="B10" s="2" t="s">
        <v>71</v>
      </c>
      <c r="C10" s="2" t="s">
        <v>21</v>
      </c>
      <c r="D10" s="2" t="s">
        <v>35</v>
      </c>
      <c r="E10" s="2" t="s">
        <v>72</v>
      </c>
      <c r="F10" s="2" t="s">
        <v>73</v>
      </c>
      <c r="G10" s="2" t="s">
        <v>74</v>
      </c>
      <c r="H10" s="3">
        <v>0.2</v>
      </c>
      <c r="I10" s="2" t="s">
        <v>26</v>
      </c>
      <c r="J10" s="2" t="s">
        <v>50</v>
      </c>
      <c r="K10" s="2" t="s">
        <v>75</v>
      </c>
      <c r="L10" s="2" t="s">
        <v>76</v>
      </c>
      <c r="M10" s="2" t="s">
        <v>77</v>
      </c>
      <c r="N10" s="2" t="s">
        <v>78</v>
      </c>
      <c r="O10" s="4">
        <v>46064</v>
      </c>
      <c r="P10" s="2" t="s">
        <v>32</v>
      </c>
      <c r="Q10" s="5" t="str">
        <f t="shared" si="0"/>
        <v>Yes</v>
      </c>
    </row>
    <row r="11" spans="1:17" x14ac:dyDescent="0.25">
      <c r="A11" s="2" t="s">
        <v>79</v>
      </c>
      <c r="B11" s="2" t="s">
        <v>80</v>
      </c>
      <c r="C11" s="2" t="s">
        <v>21</v>
      </c>
      <c r="D11" s="2" t="s">
        <v>81</v>
      </c>
      <c r="E11" s="2" t="s">
        <v>82</v>
      </c>
      <c r="F11" s="2" t="s">
        <v>83</v>
      </c>
      <c r="G11" s="2" t="s">
        <v>84</v>
      </c>
      <c r="H11" s="3">
        <v>0.25</v>
      </c>
      <c r="I11" s="2" t="s">
        <v>26</v>
      </c>
      <c r="J11" s="2" t="s">
        <v>27</v>
      </c>
      <c r="K11" s="2" t="s">
        <v>85</v>
      </c>
      <c r="L11" s="2" t="s">
        <v>86</v>
      </c>
      <c r="M11" s="2" t="s">
        <v>42</v>
      </c>
      <c r="N11" s="2" t="s">
        <v>87</v>
      </c>
      <c r="O11" s="4">
        <v>46203</v>
      </c>
      <c r="P11" s="2" t="s">
        <v>32</v>
      </c>
      <c r="Q11" s="5" t="str">
        <f t="shared" si="0"/>
        <v>Yes</v>
      </c>
    </row>
    <row r="12" spans="1:17" x14ac:dyDescent="0.25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3">
        <v>0.1</v>
      </c>
      <c r="I12" s="2" t="s">
        <v>49</v>
      </c>
      <c r="J12" s="2" t="s">
        <v>39</v>
      </c>
      <c r="K12" s="2" t="s">
        <v>95</v>
      </c>
      <c r="L12" s="2" t="s">
        <v>96</v>
      </c>
      <c r="M12" s="2" t="s">
        <v>77</v>
      </c>
      <c r="N12" s="2" t="s">
        <v>97</v>
      </c>
      <c r="O12" s="4">
        <v>46044</v>
      </c>
      <c r="P12" s="2" t="s">
        <v>32</v>
      </c>
      <c r="Q12" s="5" t="str">
        <f t="shared" si="0"/>
        <v>No</v>
      </c>
    </row>
    <row r="13" spans="1:17" x14ac:dyDescent="0.25">
      <c r="A13" s="2" t="s">
        <v>98</v>
      </c>
      <c r="B13" s="2" t="s">
        <v>99</v>
      </c>
      <c r="C13" s="2" t="s">
        <v>21</v>
      </c>
      <c r="D13" s="2" t="s">
        <v>22</v>
      </c>
      <c r="E13" s="2" t="s">
        <v>23</v>
      </c>
      <c r="F13" s="2" t="s">
        <v>100</v>
      </c>
      <c r="G13" s="2" t="s">
        <v>101</v>
      </c>
      <c r="H13" s="3">
        <v>6.5000000000000002E-2</v>
      </c>
      <c r="I13" s="2" t="s">
        <v>26</v>
      </c>
      <c r="J13" s="2" t="s">
        <v>50</v>
      </c>
      <c r="K13" s="2" t="s">
        <v>102</v>
      </c>
      <c r="L13" s="2" t="s">
        <v>103</v>
      </c>
      <c r="M13" s="2" t="s">
        <v>30</v>
      </c>
      <c r="N13" s="2" t="s">
        <v>104</v>
      </c>
      <c r="O13" s="4">
        <v>46214</v>
      </c>
      <c r="P13" s="2" t="s">
        <v>32</v>
      </c>
      <c r="Q13" s="5" t="str">
        <f t="shared" si="0"/>
        <v>Yes</v>
      </c>
    </row>
    <row r="14" spans="1:17" x14ac:dyDescent="0.25">
      <c r="A14" s="2" t="s">
        <v>105</v>
      </c>
      <c r="B14" s="2" t="s">
        <v>106</v>
      </c>
      <c r="C14" s="2" t="s">
        <v>107</v>
      </c>
      <c r="D14" s="2" t="s">
        <v>35</v>
      </c>
      <c r="E14" s="2" t="s">
        <v>108</v>
      </c>
      <c r="F14" s="2" t="s">
        <v>109</v>
      </c>
      <c r="G14" s="2" t="s">
        <v>110</v>
      </c>
      <c r="H14" s="3">
        <v>0.23</v>
      </c>
      <c r="I14" s="2" t="s">
        <v>111</v>
      </c>
      <c r="J14" s="2" t="s">
        <v>27</v>
      </c>
      <c r="K14" s="2" t="s">
        <v>112</v>
      </c>
      <c r="L14" s="2" t="s">
        <v>113</v>
      </c>
      <c r="M14" s="2" t="s">
        <v>77</v>
      </c>
      <c r="N14" s="2" t="s">
        <v>114</v>
      </c>
      <c r="O14" s="4">
        <v>45995</v>
      </c>
      <c r="P14" s="2" t="s">
        <v>115</v>
      </c>
      <c r="Q14" s="5" t="str">
        <f t="shared" si="0"/>
        <v>No</v>
      </c>
    </row>
    <row r="17" spans="1:6" x14ac:dyDescent="0.25">
      <c r="A17" s="6" t="s">
        <v>116</v>
      </c>
      <c r="B17" s="7">
        <f>COUNTA(A5:A14)</f>
        <v>10</v>
      </c>
      <c r="C17" t="s">
        <v>117</v>
      </c>
      <c r="E17" s="7">
        <f>COUNTIF(C5:C14,"Active")</f>
        <v>8</v>
      </c>
      <c r="F17" t="s">
        <v>118</v>
      </c>
    </row>
  </sheetData>
  <mergeCells count="2">
    <mergeCell ref="A2:Q2"/>
    <mergeCell ref="A1:Q1"/>
  </mergeCells>
  <conditionalFormatting sqref="C5:C14">
    <cfRule type="expression" dxfId="0" priority="1">
      <formula>C5&lt;&gt;"Active"</formula>
    </cfRule>
  </conditionalFormatting>
  <dataValidations count="1">
    <dataValidation type="list" sqref="C5:C14" xr:uid="{00000000-0002-0000-0000-000000000000}">
      <formula1>"Active,On Hold,Suspended,Blocked"</formula1>
    </dataValidation>
  </dataValidations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Vendor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Jens Schneider</cp:lastModifiedBy>
  <dcterms:created xsi:type="dcterms:W3CDTF">2026-08-14T10:21:29Z</dcterms:created>
  <dcterms:modified xsi:type="dcterms:W3CDTF">2026-08-14T10:21:31Z</dcterms:modified>
</cp:coreProperties>
</file>