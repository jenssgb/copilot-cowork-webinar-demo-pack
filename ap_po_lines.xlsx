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copilot-cowork-demo-suite\demo-pack\"/>
    </mc:Choice>
  </mc:AlternateContent>
  <xr:revisionPtr revIDLastSave="0" documentId="13_ncr:1_{2103C8F1-D2A4-4332-AB3D-44A370714F4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O Lines" sheetId="1" r:id="rId1"/>
    <sheet name="PO Summary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T28" i="1"/>
  <c r="R28" i="1"/>
  <c r="T27" i="1"/>
  <c r="R27" i="1"/>
  <c r="S27" i="1" s="1"/>
  <c r="T26" i="1"/>
  <c r="R26" i="1"/>
  <c r="S26" i="1" s="1"/>
  <c r="U26" i="1" s="1"/>
  <c r="T25" i="1"/>
  <c r="R25" i="1"/>
  <c r="T24" i="1"/>
  <c r="R24" i="1"/>
  <c r="T23" i="1"/>
  <c r="R23" i="1"/>
  <c r="T22" i="1"/>
  <c r="R22" i="1"/>
  <c r="T21" i="1"/>
  <c r="R21" i="1"/>
  <c r="T20" i="1"/>
  <c r="R20" i="1"/>
  <c r="T19" i="1"/>
  <c r="R19" i="1"/>
  <c r="T18" i="1"/>
  <c r="R18" i="1"/>
  <c r="T17" i="1"/>
  <c r="R17" i="1"/>
  <c r="S17" i="1" s="1"/>
  <c r="U17" i="1" s="1"/>
  <c r="T16" i="1"/>
  <c r="R16" i="1"/>
  <c r="T15" i="1"/>
  <c r="R15" i="1"/>
  <c r="T14" i="1"/>
  <c r="R14" i="1"/>
  <c r="T13" i="1"/>
  <c r="R13" i="1"/>
  <c r="F9" i="2" s="1"/>
  <c r="T12" i="1"/>
  <c r="R12" i="1"/>
  <c r="T11" i="1"/>
  <c r="R11" i="1"/>
  <c r="F8" i="2" s="1"/>
  <c r="T10" i="1"/>
  <c r="R10" i="1"/>
  <c r="T9" i="1"/>
  <c r="R9" i="1"/>
  <c r="F7" i="2" s="1"/>
  <c r="T8" i="1"/>
  <c r="R8" i="1"/>
  <c r="T7" i="1"/>
  <c r="R7" i="1"/>
  <c r="F6" i="2" s="1"/>
  <c r="T6" i="1"/>
  <c r="R6" i="1"/>
  <c r="T5" i="1"/>
  <c r="R5" i="1"/>
  <c r="F5" i="2" s="1"/>
  <c r="U27" i="1" l="1"/>
  <c r="S28" i="1"/>
  <c r="U28" i="1"/>
  <c r="F14" i="2"/>
  <c r="S25" i="1"/>
  <c r="U25" i="1"/>
  <c r="G14" i="2" s="1"/>
  <c r="S24" i="1"/>
  <c r="U24" i="1" s="1"/>
  <c r="S23" i="1"/>
  <c r="U23" i="1" s="1"/>
  <c r="F13" i="2"/>
  <c r="S22" i="1"/>
  <c r="U22" i="1" s="1"/>
  <c r="G13" i="2" s="1"/>
  <c r="S21" i="1"/>
  <c r="U21" i="1" s="1"/>
  <c r="S20" i="1"/>
  <c r="U20" i="1" s="1"/>
  <c r="F12" i="2"/>
  <c r="S19" i="1"/>
  <c r="U19" i="1" s="1"/>
  <c r="F11" i="2"/>
  <c r="S18" i="1"/>
  <c r="U18" i="1" s="1"/>
  <c r="G11" i="2" s="1"/>
  <c r="S16" i="1"/>
  <c r="U16" i="1" s="1"/>
  <c r="S15" i="1"/>
  <c r="U15" i="1" s="1"/>
  <c r="G10" i="2" s="1"/>
  <c r="F10" i="2"/>
  <c r="S14" i="1"/>
  <c r="U14" i="1" s="1"/>
  <c r="S13" i="1"/>
  <c r="U13" i="1" s="1"/>
  <c r="G9" i="2" s="1"/>
  <c r="S12" i="1"/>
  <c r="U12" i="1" s="1"/>
  <c r="S11" i="1"/>
  <c r="U11" i="1" s="1"/>
  <c r="S10" i="1"/>
  <c r="U10" i="1"/>
  <c r="S9" i="1"/>
  <c r="U9" i="1" s="1"/>
  <c r="G7" i="2" s="1"/>
  <c r="S8" i="1"/>
  <c r="U8" i="1" s="1"/>
  <c r="G6" i="2" s="1"/>
  <c r="S7" i="1"/>
  <c r="U7" i="1"/>
  <c r="S6" i="1"/>
  <c r="U6" i="1" s="1"/>
  <c r="S5" i="1"/>
  <c r="U5" i="1" s="1"/>
  <c r="G5" i="2" s="1"/>
  <c r="G12" i="2" l="1"/>
  <c r="G8" i="2"/>
</calcChain>
</file>

<file path=xl/sharedStrings.xml><?xml version="1.0" encoding="utf-8"?>
<sst xmlns="http://schemas.openxmlformats.org/spreadsheetml/2006/main" count="302" uniqueCount="127">
  <si>
    <t>Approved Purchase Order Lines</t>
  </si>
  <si>
    <t>Synthetic purchase-order register for Demo 17. Formula columns recalculate line value, tax and authorized exposure.</t>
  </si>
  <si>
    <t>PO Number</t>
  </si>
  <si>
    <t>Line</t>
  </si>
  <si>
    <t>Vendor ID</t>
  </si>
  <si>
    <t>SKU</t>
  </si>
  <si>
    <t>Description</t>
  </si>
  <si>
    <t>Ordered Qty</t>
  </si>
  <si>
    <t>Unit Price</t>
  </si>
  <si>
    <t>Currency</t>
  </si>
  <si>
    <t>Tax Code</t>
  </si>
  <si>
    <t>Tax Rate</t>
  </si>
  <si>
    <t>Freight Allowed</t>
  </si>
  <si>
    <t>Freight Cap</t>
  </si>
  <si>
    <t>Cost Center</t>
  </si>
  <si>
    <t>Requester</t>
  </si>
  <si>
    <t>Approval Status</t>
  </si>
  <si>
    <t>Order Date</t>
  </si>
  <si>
    <t>Expected Date</t>
  </si>
  <si>
    <t>Line Net</t>
  </si>
  <si>
    <t>Calculated Tax</t>
  </si>
  <si>
    <t>Authorized Freight</t>
  </si>
  <si>
    <t>Authorized Line Total</t>
  </si>
  <si>
    <t>PO-260101</t>
  </si>
  <si>
    <t>V100</t>
  </si>
  <si>
    <t>AC-RB440</t>
  </si>
  <si>
    <t>RB-440 actuator bearing assembly</t>
  </si>
  <si>
    <t>USD</t>
  </si>
  <si>
    <t>US-CO-0825</t>
  </si>
  <si>
    <t>No</t>
  </si>
  <si>
    <t>CC-4100</t>
  </si>
  <si>
    <t>Daniel Cho</t>
  </si>
  <si>
    <t>Approved</t>
  </si>
  <si>
    <t>AC-SK210</t>
  </si>
  <si>
    <t>SK-210 seal kit</t>
  </si>
  <si>
    <t>PO-260102</t>
  </si>
  <si>
    <t>V200</t>
  </si>
  <si>
    <t>NL-DOCK8</t>
  </si>
  <si>
    <t>USB-C docking station, 8-port</t>
  </si>
  <si>
    <t>EUR</t>
  </si>
  <si>
    <t>NL-STD-21</t>
  </si>
  <si>
    <t>Yes</t>
  </si>
  <si>
    <t>CC-2200</t>
  </si>
  <si>
    <t>Hannah Price</t>
  </si>
  <si>
    <t>NL-ERGO2</t>
  </si>
  <si>
    <t>Ergonomic monitor arm, dual</t>
  </si>
  <si>
    <t>PO-260103</t>
  </si>
  <si>
    <t>V300</t>
  </si>
  <si>
    <t>FF-PR900</t>
  </si>
  <si>
    <t>Pneumatic riveting tool PR-900</t>
  </si>
  <si>
    <t>DE-STD-19</t>
  </si>
  <si>
    <t>CC-4300</t>
  </si>
  <si>
    <t>Mateo Silva</t>
  </si>
  <si>
    <t>FF-DIE45</t>
  </si>
  <si>
    <t>Replacement die set, 45 mm</t>
  </si>
  <si>
    <t>PO-260104</t>
  </si>
  <si>
    <t>V400</t>
  </si>
  <si>
    <t>CC-BOX12</t>
  </si>
  <si>
    <t>Double-wall shipping carton, size 12</t>
  </si>
  <si>
    <t>US-OR-0725</t>
  </si>
  <si>
    <t>CC-5100</t>
  </si>
  <si>
    <t>Grace Kim</t>
  </si>
  <si>
    <t>CC-FOAM18</t>
  </si>
  <si>
    <t>Protective foam insert, 18 inch</t>
  </si>
  <si>
    <t>PO-260105</t>
  </si>
  <si>
    <t>V500</t>
  </si>
  <si>
    <t>TS-CASE210</t>
  </si>
  <si>
    <t>Rugged transit case, 210 L</t>
  </si>
  <si>
    <t>GBP</t>
  </si>
  <si>
    <t>GB-STD-20</t>
  </si>
  <si>
    <t>CC-5200</t>
  </si>
  <si>
    <t>Noah Williams</t>
  </si>
  <si>
    <t>TS-STRAP48</t>
  </si>
  <si>
    <t>Load restraint strap, 4.8 m</t>
  </si>
  <si>
    <t>PO-260106</t>
  </si>
  <si>
    <t>AC-CPL300</t>
  </si>
  <si>
    <t>Precision coupling CPL-300</t>
  </si>
  <si>
    <t>AC-SNS800</t>
  </si>
  <si>
    <t>Torque sensor SNS-800</t>
  </si>
  <si>
    <t>PO-260107</t>
  </si>
  <si>
    <t>NL-KEY75</t>
  </si>
  <si>
    <t>Low-profile keyboard, EN layout</t>
  </si>
  <si>
    <t>NL-HUB140</t>
  </si>
  <si>
    <t>Conference room control hub</t>
  </si>
  <si>
    <t>PO-260108</t>
  </si>
  <si>
    <t>V700</t>
  </si>
  <si>
    <t>MS-HELMET</t>
  </si>
  <si>
    <t>Industrial safety helmet</t>
  </si>
  <si>
    <t>SEK</t>
  </si>
  <si>
    <t>SE-STD-25</t>
  </si>
  <si>
    <t>CC-6100</t>
  </si>
  <si>
    <t>Isla Thompson</t>
  </si>
  <si>
    <t>MS-GLOVE</t>
  </si>
  <si>
    <t>Cut-resistant glove pair</t>
  </si>
  <si>
    <t>MS-VEST</t>
  </si>
  <si>
    <t>High-visibility vest</t>
  </si>
  <si>
    <t>PO-260109</t>
  </si>
  <si>
    <t>V800</t>
  </si>
  <si>
    <t>BP-HVAC-Q</t>
  </si>
  <si>
    <t>Quarterly HVAC inspection service</t>
  </si>
  <si>
    <t>AUD</t>
  </si>
  <si>
    <t>AU-GST-10</t>
  </si>
  <si>
    <t>CC-7100</t>
  </si>
  <si>
    <t>Liam Patel</t>
  </si>
  <si>
    <t>BP-FLTR20</t>
  </si>
  <si>
    <t>HEPA filter replacement pack</t>
  </si>
  <si>
    <t>BP-CALL</t>
  </si>
  <si>
    <t>Emergency call-out allowance</t>
  </si>
  <si>
    <t>Pending Change Approval</t>
  </si>
  <si>
    <t>PO-260110</t>
  </si>
  <si>
    <t>V900</t>
  </si>
  <si>
    <t>QS-SW24</t>
  </si>
  <si>
    <t>Managed network switch, 24-port</t>
  </si>
  <si>
    <t>US-WA-0650</t>
  </si>
  <si>
    <t>CC-3100</t>
  </si>
  <si>
    <t>Sofia Rossi</t>
  </si>
  <si>
    <t>QS-AP6</t>
  </si>
  <si>
    <t>Wi-Fi 6 access point</t>
  </si>
  <si>
    <t>QS-RACK</t>
  </si>
  <si>
    <t>42U secure network rack</t>
  </si>
  <si>
    <t>QS-CONFIG</t>
  </si>
  <si>
    <t>On-site configuration day</t>
  </si>
  <si>
    <t>Purchase Order Control Summary</t>
  </si>
  <si>
    <t>Formula-driven counts and authorized totals by PO and currency.</t>
  </si>
  <si>
    <t>Line Count</t>
  </si>
  <si>
    <t>Net Value</t>
  </si>
  <si>
    <t>Authorized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</si>
</sst>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;[Red]\(#,##0.00\);\-"/>
    <numFmt numFmtId="166" formatCode="dd\ mmm\ yyyy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sz val="9"/>
      <color rgb="FF0000FF"/>
      <name val="Arial"/>
    </font>
    <font>
      <sz val="9"/>
      <color rgb="FF000000"/>
      <name val="Arial"/>
    </font>
    <font>
      <sz val="9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C7D3DD"/>
      </left>
      <right style="thin">
        <color rgb="FFC7D3DD"/>
      </right>
      <top style="thin">
        <color rgb="FFC7D3DD"/>
      </top>
      <bottom style="thin">
        <color rgb="FFC7D3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0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Standard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Lines" displayName="POLines" ref="A4:U28">
  <autoFilter ref="A4:U28" xr:uid="{00000000-0009-0000-0100-000001000000}"/>
  <tableColumns count="21">
    <tableColumn id="1" xr3:uid="{00000000-0010-0000-0000-000001000000}" name="PO Number"/>
    <tableColumn id="2" xr3:uid="{00000000-0010-0000-0000-000002000000}" name="Line"/>
    <tableColumn id="3" xr3:uid="{00000000-0010-0000-0000-000003000000}" name="Vendor ID"/>
    <tableColumn id="4" xr3:uid="{00000000-0010-0000-0000-000004000000}" name="SKU"/>
    <tableColumn id="5" xr3:uid="{00000000-0010-0000-0000-000005000000}" name="Description"/>
    <tableColumn id="6" xr3:uid="{00000000-0010-0000-0000-000006000000}" name="Ordered Qty"/>
    <tableColumn id="7" xr3:uid="{00000000-0010-0000-0000-000007000000}" name="Unit Price"/>
    <tableColumn id="8" xr3:uid="{00000000-0010-0000-0000-000008000000}" name="Currency"/>
    <tableColumn id="9" xr3:uid="{00000000-0010-0000-0000-000009000000}" name="Tax Code"/>
    <tableColumn id="10" xr3:uid="{00000000-0010-0000-0000-00000A000000}" name="Tax Rate"/>
    <tableColumn id="11" xr3:uid="{00000000-0010-0000-0000-00000B000000}" name="Freight Allowed"/>
    <tableColumn id="12" xr3:uid="{00000000-0010-0000-0000-00000C000000}" name="Freight Cap"/>
    <tableColumn id="13" xr3:uid="{00000000-0010-0000-0000-00000D000000}" name="Cost Center"/>
    <tableColumn id="14" xr3:uid="{00000000-0010-0000-0000-00000E000000}" name="Requester"/>
    <tableColumn id="15" xr3:uid="{00000000-0010-0000-0000-00000F000000}" name="Approval Status"/>
    <tableColumn id="16" xr3:uid="{00000000-0010-0000-0000-000010000000}" name="Order Date"/>
    <tableColumn id="17" xr3:uid="{00000000-0010-0000-0000-000011000000}" name="Expected Date"/>
    <tableColumn id="18" xr3:uid="{00000000-0010-0000-0000-000012000000}" name="Line Net"/>
    <tableColumn id="19" xr3:uid="{00000000-0010-0000-0000-000013000000}" name="Calculated Tax"/>
    <tableColumn id="20" xr3:uid="{00000000-0010-0000-0000-000014000000}" name="Authorized Freight"/>
    <tableColumn id="21" xr3:uid="{00000000-0010-0000-0000-000015000000}" name="Authorized Line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Summary" displayName="POSummary" ref="A4:G14">
  <autoFilter ref="A4:G14" xr:uid="{00000000-0009-0000-0100-000002000000}"/>
  <tableColumns count="7">
    <tableColumn id="1" xr3:uid="{00000000-0010-0000-0100-000001000000}" name="PO Number"/>
    <tableColumn id="2" xr3:uid="{00000000-0010-0000-0100-000002000000}" name="Vendor ID"/>
    <tableColumn id="3" xr3:uid="{00000000-0010-0000-0100-000003000000}" name="Currency"/>
    <tableColumn id="4" xr3:uid="{00000000-0010-0000-0100-000004000000}" name="Line Count"/>
    <tableColumn id="5" xr3:uid="{00000000-0010-0000-0100-000005000000}" name="Ordered Qty"/>
    <tableColumn id="6" xr3:uid="{00000000-0010-0000-0100-000006000000}" name="Net Value"/>
    <tableColumn id="7" xr3:uid="{00000000-0010-0000-0100-000007000000}" name="Authorized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showGridLines="0" tabSelected="1" workbookViewId="0">
      <pane ySplit="4" topLeftCell="A5" activePane="bottomLeft" state="frozen"/>
      <selection pane="bottomLeft" sqref="A1:U1"/>
    </sheetView>
  </sheetViews>
  <sheetFormatPr baseColWidth="10" defaultColWidth="9.140625" defaultRowHeight="15" x14ac:dyDescent="0.25"/>
  <cols>
    <col min="1" max="1" width="14" customWidth="1"/>
    <col min="2" max="2" width="8" customWidth="1"/>
    <col min="3" max="3" width="11" customWidth="1"/>
    <col min="4" max="4" width="16" customWidth="1"/>
    <col min="5" max="5" width="40" customWidth="1"/>
    <col min="6" max="6" width="13" customWidth="1"/>
    <col min="7" max="7" width="14" customWidth="1"/>
    <col min="8" max="8" width="11" customWidth="1"/>
    <col min="9" max="9" width="16" customWidth="1"/>
    <col min="10" max="10" width="11" customWidth="1"/>
    <col min="11" max="11" width="16" customWidth="1"/>
    <col min="12" max="12" width="14" customWidth="1"/>
    <col min="13" max="13" width="15" customWidth="1"/>
    <col min="14" max="14" width="20" customWidth="1"/>
    <col min="15" max="15" width="24" customWidth="1"/>
    <col min="16" max="19" width="15" customWidth="1"/>
    <col min="20" max="20" width="18" customWidth="1"/>
    <col min="21" max="21" width="20" customWidth="1"/>
  </cols>
  <sheetData>
    <row r="1" spans="1:21" ht="30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27.95" customHeight="1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4" spans="1:21" ht="33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</row>
    <row r="5" spans="1:21" x14ac:dyDescent="0.25">
      <c r="A5" s="2" t="s">
        <v>23</v>
      </c>
      <c r="B5" s="2">
        <v>1</v>
      </c>
      <c r="C5" s="2" t="s">
        <v>24</v>
      </c>
      <c r="D5" s="2" t="s">
        <v>25</v>
      </c>
      <c r="E5" s="2" t="s">
        <v>26</v>
      </c>
      <c r="F5" s="2">
        <v>10</v>
      </c>
      <c r="G5" s="3">
        <v>1200</v>
      </c>
      <c r="H5" s="2" t="s">
        <v>27</v>
      </c>
      <c r="I5" s="2" t="s">
        <v>28</v>
      </c>
      <c r="J5" s="4">
        <v>8.2500000000000004E-2</v>
      </c>
      <c r="K5" s="2" t="s">
        <v>29</v>
      </c>
      <c r="L5" s="3">
        <v>0</v>
      </c>
      <c r="M5" s="2" t="s">
        <v>30</v>
      </c>
      <c r="N5" s="2" t="s">
        <v>31</v>
      </c>
      <c r="O5" s="2" t="s">
        <v>32</v>
      </c>
      <c r="P5" s="5">
        <v>46209</v>
      </c>
      <c r="Q5" s="5">
        <v>46231</v>
      </c>
      <c r="R5" s="6">
        <f t="shared" ref="R5:R28" si="0">F5*G5</f>
        <v>12000</v>
      </c>
      <c r="S5" s="6">
        <f t="shared" ref="S5:S28" si="1">R5*J5</f>
        <v>990</v>
      </c>
      <c r="T5" s="6">
        <f t="shared" ref="T5:T28" si="2">IF(K5="Yes",L5,0)</f>
        <v>0</v>
      </c>
      <c r="U5" s="6">
        <f t="shared" ref="U5:U28" si="3">R5+S5+T5</f>
        <v>12990</v>
      </c>
    </row>
    <row r="6" spans="1:21" x14ac:dyDescent="0.25">
      <c r="A6" s="2" t="s">
        <v>23</v>
      </c>
      <c r="B6" s="2">
        <v>2</v>
      </c>
      <c r="C6" s="2" t="s">
        <v>24</v>
      </c>
      <c r="D6" s="2" t="s">
        <v>33</v>
      </c>
      <c r="E6" s="2" t="s">
        <v>34</v>
      </c>
      <c r="F6" s="2">
        <v>20</v>
      </c>
      <c r="G6" s="3">
        <v>85</v>
      </c>
      <c r="H6" s="2" t="s">
        <v>27</v>
      </c>
      <c r="I6" s="2" t="s">
        <v>28</v>
      </c>
      <c r="J6" s="4">
        <v>8.2500000000000004E-2</v>
      </c>
      <c r="K6" s="2" t="s">
        <v>29</v>
      </c>
      <c r="L6" s="3">
        <v>0</v>
      </c>
      <c r="M6" s="2" t="s">
        <v>30</v>
      </c>
      <c r="N6" s="2" t="s">
        <v>31</v>
      </c>
      <c r="O6" s="2" t="s">
        <v>32</v>
      </c>
      <c r="P6" s="5">
        <v>46209</v>
      </c>
      <c r="Q6" s="5">
        <v>46231</v>
      </c>
      <c r="R6" s="6">
        <f t="shared" si="0"/>
        <v>1700</v>
      </c>
      <c r="S6" s="6">
        <f t="shared" si="1"/>
        <v>140.25</v>
      </c>
      <c r="T6" s="6">
        <f t="shared" si="2"/>
        <v>0</v>
      </c>
      <c r="U6" s="6">
        <f t="shared" si="3"/>
        <v>1840.25</v>
      </c>
    </row>
    <row r="7" spans="1:21" x14ac:dyDescent="0.25">
      <c r="A7" s="2" t="s">
        <v>35</v>
      </c>
      <c r="B7" s="2">
        <v>1</v>
      </c>
      <c r="C7" s="2" t="s">
        <v>36</v>
      </c>
      <c r="D7" s="2" t="s">
        <v>37</v>
      </c>
      <c r="E7" s="2" t="s">
        <v>38</v>
      </c>
      <c r="F7" s="2">
        <v>25</v>
      </c>
      <c r="G7" s="3">
        <v>160</v>
      </c>
      <c r="H7" s="2" t="s">
        <v>39</v>
      </c>
      <c r="I7" s="2" t="s">
        <v>40</v>
      </c>
      <c r="J7" s="4">
        <v>0.21</v>
      </c>
      <c r="K7" s="2" t="s">
        <v>41</v>
      </c>
      <c r="L7" s="3">
        <v>40</v>
      </c>
      <c r="M7" s="2" t="s">
        <v>42</v>
      </c>
      <c r="N7" s="2" t="s">
        <v>43</v>
      </c>
      <c r="O7" s="2" t="s">
        <v>32</v>
      </c>
      <c r="P7" s="5">
        <v>46211</v>
      </c>
      <c r="Q7" s="5">
        <v>46233</v>
      </c>
      <c r="R7" s="6">
        <f t="shared" si="0"/>
        <v>4000</v>
      </c>
      <c r="S7" s="6">
        <f t="shared" si="1"/>
        <v>840</v>
      </c>
      <c r="T7" s="6">
        <f t="shared" si="2"/>
        <v>40</v>
      </c>
      <c r="U7" s="6">
        <f t="shared" si="3"/>
        <v>4880</v>
      </c>
    </row>
    <row r="8" spans="1:21" x14ac:dyDescent="0.25">
      <c r="A8" s="2" t="s">
        <v>35</v>
      </c>
      <c r="B8" s="2">
        <v>2</v>
      </c>
      <c r="C8" s="2" t="s">
        <v>36</v>
      </c>
      <c r="D8" s="2" t="s">
        <v>44</v>
      </c>
      <c r="E8" s="2" t="s">
        <v>45</v>
      </c>
      <c r="F8" s="2">
        <v>10</v>
      </c>
      <c r="G8" s="3">
        <v>250</v>
      </c>
      <c r="H8" s="2" t="s">
        <v>39</v>
      </c>
      <c r="I8" s="2" t="s">
        <v>40</v>
      </c>
      <c r="J8" s="4">
        <v>0.21</v>
      </c>
      <c r="K8" s="2" t="s">
        <v>41</v>
      </c>
      <c r="L8" s="3">
        <v>35</v>
      </c>
      <c r="M8" s="2" t="s">
        <v>42</v>
      </c>
      <c r="N8" s="2" t="s">
        <v>43</v>
      </c>
      <c r="O8" s="2" t="s">
        <v>32</v>
      </c>
      <c r="P8" s="5">
        <v>46211</v>
      </c>
      <c r="Q8" s="5">
        <v>46233</v>
      </c>
      <c r="R8" s="6">
        <f t="shared" si="0"/>
        <v>2500</v>
      </c>
      <c r="S8" s="6">
        <f t="shared" si="1"/>
        <v>525</v>
      </c>
      <c r="T8" s="6">
        <f t="shared" si="2"/>
        <v>35</v>
      </c>
      <c r="U8" s="6">
        <f t="shared" si="3"/>
        <v>3060</v>
      </c>
    </row>
    <row r="9" spans="1:21" x14ac:dyDescent="0.25">
      <c r="A9" s="2" t="s">
        <v>46</v>
      </c>
      <c r="B9" s="2">
        <v>1</v>
      </c>
      <c r="C9" s="2" t="s">
        <v>47</v>
      </c>
      <c r="D9" s="2" t="s">
        <v>48</v>
      </c>
      <c r="E9" s="2" t="s">
        <v>49</v>
      </c>
      <c r="F9" s="2">
        <v>8</v>
      </c>
      <c r="G9" s="3">
        <v>900</v>
      </c>
      <c r="H9" s="2" t="s">
        <v>39</v>
      </c>
      <c r="I9" s="2" t="s">
        <v>50</v>
      </c>
      <c r="J9" s="4">
        <v>0.19</v>
      </c>
      <c r="K9" s="2" t="s">
        <v>29</v>
      </c>
      <c r="L9" s="3">
        <v>0</v>
      </c>
      <c r="M9" s="2" t="s">
        <v>51</v>
      </c>
      <c r="N9" s="2" t="s">
        <v>52</v>
      </c>
      <c r="O9" s="2" t="s">
        <v>32</v>
      </c>
      <c r="P9" s="5">
        <v>46212</v>
      </c>
      <c r="Q9" s="5">
        <v>46235</v>
      </c>
      <c r="R9" s="6">
        <f t="shared" si="0"/>
        <v>7200</v>
      </c>
      <c r="S9" s="6">
        <f t="shared" si="1"/>
        <v>1368</v>
      </c>
      <c r="T9" s="6">
        <f t="shared" si="2"/>
        <v>0</v>
      </c>
      <c r="U9" s="6">
        <f t="shared" si="3"/>
        <v>8568</v>
      </c>
    </row>
    <row r="10" spans="1:21" x14ac:dyDescent="0.25">
      <c r="A10" s="2" t="s">
        <v>46</v>
      </c>
      <c r="B10" s="2">
        <v>2</v>
      </c>
      <c r="C10" s="2" t="s">
        <v>47</v>
      </c>
      <c r="D10" s="2" t="s">
        <v>53</v>
      </c>
      <c r="E10" s="2" t="s">
        <v>54</v>
      </c>
      <c r="F10" s="2">
        <v>20</v>
      </c>
      <c r="G10" s="3">
        <v>45</v>
      </c>
      <c r="H10" s="2" t="s">
        <v>39</v>
      </c>
      <c r="I10" s="2" t="s">
        <v>50</v>
      </c>
      <c r="J10" s="4">
        <v>0.19</v>
      </c>
      <c r="K10" s="2" t="s">
        <v>29</v>
      </c>
      <c r="L10" s="3">
        <v>0</v>
      </c>
      <c r="M10" s="2" t="s">
        <v>51</v>
      </c>
      <c r="N10" s="2" t="s">
        <v>52</v>
      </c>
      <c r="O10" s="2" t="s">
        <v>32</v>
      </c>
      <c r="P10" s="5">
        <v>46212</v>
      </c>
      <c r="Q10" s="5">
        <v>46235</v>
      </c>
      <c r="R10" s="6">
        <f t="shared" si="0"/>
        <v>900</v>
      </c>
      <c r="S10" s="6">
        <f t="shared" si="1"/>
        <v>171</v>
      </c>
      <c r="T10" s="6">
        <f t="shared" si="2"/>
        <v>0</v>
      </c>
      <c r="U10" s="6">
        <f t="shared" si="3"/>
        <v>1071</v>
      </c>
    </row>
    <row r="11" spans="1:21" x14ac:dyDescent="0.25">
      <c r="A11" s="2" t="s">
        <v>55</v>
      </c>
      <c r="B11" s="2">
        <v>1</v>
      </c>
      <c r="C11" s="2" t="s">
        <v>56</v>
      </c>
      <c r="D11" s="2" t="s">
        <v>57</v>
      </c>
      <c r="E11" s="2" t="s">
        <v>58</v>
      </c>
      <c r="F11" s="2">
        <v>100</v>
      </c>
      <c r="G11" s="3">
        <v>12</v>
      </c>
      <c r="H11" s="2" t="s">
        <v>27</v>
      </c>
      <c r="I11" s="2" t="s">
        <v>59</v>
      </c>
      <c r="J11" s="4">
        <v>7.2499999999999995E-2</v>
      </c>
      <c r="K11" s="2" t="s">
        <v>41</v>
      </c>
      <c r="L11" s="3">
        <v>20</v>
      </c>
      <c r="M11" s="2" t="s">
        <v>60</v>
      </c>
      <c r="N11" s="2" t="s">
        <v>61</v>
      </c>
      <c r="O11" s="2" t="s">
        <v>32</v>
      </c>
      <c r="P11" s="5">
        <v>46213</v>
      </c>
      <c r="Q11" s="5">
        <v>46237</v>
      </c>
      <c r="R11" s="6">
        <f t="shared" si="0"/>
        <v>1200</v>
      </c>
      <c r="S11" s="6">
        <f t="shared" si="1"/>
        <v>87</v>
      </c>
      <c r="T11" s="6">
        <f t="shared" si="2"/>
        <v>20</v>
      </c>
      <c r="U11" s="6">
        <f t="shared" si="3"/>
        <v>1307</v>
      </c>
    </row>
    <row r="12" spans="1:21" x14ac:dyDescent="0.25">
      <c r="A12" s="2" t="s">
        <v>55</v>
      </c>
      <c r="B12" s="2">
        <v>2</v>
      </c>
      <c r="C12" s="2" t="s">
        <v>56</v>
      </c>
      <c r="D12" s="2" t="s">
        <v>62</v>
      </c>
      <c r="E12" s="2" t="s">
        <v>63</v>
      </c>
      <c r="F12" s="2">
        <v>50</v>
      </c>
      <c r="G12" s="3">
        <v>18</v>
      </c>
      <c r="H12" s="2" t="s">
        <v>27</v>
      </c>
      <c r="I12" s="2" t="s">
        <v>59</v>
      </c>
      <c r="J12" s="4">
        <v>7.2499999999999995E-2</v>
      </c>
      <c r="K12" s="2" t="s">
        <v>41</v>
      </c>
      <c r="L12" s="3">
        <v>20</v>
      </c>
      <c r="M12" s="2" t="s">
        <v>60</v>
      </c>
      <c r="N12" s="2" t="s">
        <v>61</v>
      </c>
      <c r="O12" s="2" t="s">
        <v>32</v>
      </c>
      <c r="P12" s="5">
        <v>46213</v>
      </c>
      <c r="Q12" s="5">
        <v>46237</v>
      </c>
      <c r="R12" s="6">
        <f t="shared" si="0"/>
        <v>900</v>
      </c>
      <c r="S12" s="6">
        <f t="shared" si="1"/>
        <v>65.25</v>
      </c>
      <c r="T12" s="6">
        <f t="shared" si="2"/>
        <v>20</v>
      </c>
      <c r="U12" s="6">
        <f t="shared" si="3"/>
        <v>985.25</v>
      </c>
    </row>
    <row r="13" spans="1:21" x14ac:dyDescent="0.25">
      <c r="A13" s="2" t="s">
        <v>64</v>
      </c>
      <c r="B13" s="2">
        <v>1</v>
      </c>
      <c r="C13" s="2" t="s">
        <v>65</v>
      </c>
      <c r="D13" s="2" t="s">
        <v>66</v>
      </c>
      <c r="E13" s="2" t="s">
        <v>67</v>
      </c>
      <c r="F13" s="2">
        <v>15</v>
      </c>
      <c r="G13" s="3">
        <v>210</v>
      </c>
      <c r="H13" s="2" t="s">
        <v>68</v>
      </c>
      <c r="I13" s="2" t="s">
        <v>69</v>
      </c>
      <c r="J13" s="4">
        <v>0.2</v>
      </c>
      <c r="K13" s="2" t="s">
        <v>29</v>
      </c>
      <c r="L13" s="3">
        <v>0</v>
      </c>
      <c r="M13" s="2" t="s">
        <v>70</v>
      </c>
      <c r="N13" s="2" t="s">
        <v>71</v>
      </c>
      <c r="O13" s="2" t="s">
        <v>32</v>
      </c>
      <c r="P13" s="5">
        <v>46215</v>
      </c>
      <c r="Q13" s="5">
        <v>46238</v>
      </c>
      <c r="R13" s="6">
        <f t="shared" si="0"/>
        <v>3150</v>
      </c>
      <c r="S13" s="6">
        <f t="shared" si="1"/>
        <v>630</v>
      </c>
      <c r="T13" s="6">
        <f t="shared" si="2"/>
        <v>0</v>
      </c>
      <c r="U13" s="6">
        <f t="shared" si="3"/>
        <v>3780</v>
      </c>
    </row>
    <row r="14" spans="1:21" x14ac:dyDescent="0.25">
      <c r="A14" s="2" t="s">
        <v>64</v>
      </c>
      <c r="B14" s="2">
        <v>2</v>
      </c>
      <c r="C14" s="2" t="s">
        <v>65</v>
      </c>
      <c r="D14" s="2" t="s">
        <v>72</v>
      </c>
      <c r="E14" s="2" t="s">
        <v>73</v>
      </c>
      <c r="F14" s="2">
        <v>30</v>
      </c>
      <c r="G14" s="3">
        <v>48</v>
      </c>
      <c r="H14" s="2" t="s">
        <v>68</v>
      </c>
      <c r="I14" s="2" t="s">
        <v>69</v>
      </c>
      <c r="J14" s="4">
        <v>0.2</v>
      </c>
      <c r="K14" s="2" t="s">
        <v>29</v>
      </c>
      <c r="L14" s="3">
        <v>0</v>
      </c>
      <c r="M14" s="2" t="s">
        <v>70</v>
      </c>
      <c r="N14" s="2" t="s">
        <v>71</v>
      </c>
      <c r="O14" s="2" t="s">
        <v>32</v>
      </c>
      <c r="P14" s="5">
        <v>46215</v>
      </c>
      <c r="Q14" s="5">
        <v>46238</v>
      </c>
      <c r="R14" s="6">
        <f t="shared" si="0"/>
        <v>1440</v>
      </c>
      <c r="S14" s="6">
        <f t="shared" si="1"/>
        <v>288</v>
      </c>
      <c r="T14" s="6">
        <f t="shared" si="2"/>
        <v>0</v>
      </c>
      <c r="U14" s="6">
        <f t="shared" si="3"/>
        <v>1728</v>
      </c>
    </row>
    <row r="15" spans="1:21" x14ac:dyDescent="0.25">
      <c r="A15" s="2" t="s">
        <v>74</v>
      </c>
      <c r="B15" s="2">
        <v>1</v>
      </c>
      <c r="C15" s="2" t="s">
        <v>24</v>
      </c>
      <c r="D15" s="2" t="s">
        <v>75</v>
      </c>
      <c r="E15" s="2" t="s">
        <v>76</v>
      </c>
      <c r="F15" s="2">
        <v>12</v>
      </c>
      <c r="G15" s="3">
        <v>300</v>
      </c>
      <c r="H15" s="2" t="s">
        <v>27</v>
      </c>
      <c r="I15" s="2" t="s">
        <v>28</v>
      </c>
      <c r="J15" s="4">
        <v>8.2500000000000004E-2</v>
      </c>
      <c r="K15" s="2" t="s">
        <v>29</v>
      </c>
      <c r="L15" s="3">
        <v>0</v>
      </c>
      <c r="M15" s="2" t="s">
        <v>30</v>
      </c>
      <c r="N15" s="2" t="s">
        <v>31</v>
      </c>
      <c r="O15" s="2" t="s">
        <v>32</v>
      </c>
      <c r="P15" s="5">
        <v>46217</v>
      </c>
      <c r="Q15" s="5">
        <v>46239</v>
      </c>
      <c r="R15" s="6">
        <f t="shared" si="0"/>
        <v>3600</v>
      </c>
      <c r="S15" s="6">
        <f t="shared" si="1"/>
        <v>297</v>
      </c>
      <c r="T15" s="6">
        <f t="shared" si="2"/>
        <v>0</v>
      </c>
      <c r="U15" s="6">
        <f t="shared" si="3"/>
        <v>3897</v>
      </c>
    </row>
    <row r="16" spans="1:21" x14ac:dyDescent="0.25">
      <c r="A16" s="2" t="s">
        <v>74</v>
      </c>
      <c r="B16" s="2">
        <v>2</v>
      </c>
      <c r="C16" s="2" t="s">
        <v>24</v>
      </c>
      <c r="D16" s="2" t="s">
        <v>77</v>
      </c>
      <c r="E16" s="2" t="s">
        <v>78</v>
      </c>
      <c r="F16" s="2">
        <v>4</v>
      </c>
      <c r="G16" s="3">
        <v>800</v>
      </c>
      <c r="H16" s="2" t="s">
        <v>27</v>
      </c>
      <c r="I16" s="2" t="s">
        <v>28</v>
      </c>
      <c r="J16" s="4">
        <v>8.2500000000000004E-2</v>
      </c>
      <c r="K16" s="2" t="s">
        <v>29</v>
      </c>
      <c r="L16" s="3">
        <v>0</v>
      </c>
      <c r="M16" s="2" t="s">
        <v>30</v>
      </c>
      <c r="N16" s="2" t="s">
        <v>31</v>
      </c>
      <c r="O16" s="2" t="s">
        <v>32</v>
      </c>
      <c r="P16" s="5">
        <v>46217</v>
      </c>
      <c r="Q16" s="5">
        <v>46239</v>
      </c>
      <c r="R16" s="6">
        <f t="shared" si="0"/>
        <v>3200</v>
      </c>
      <c r="S16" s="6">
        <f t="shared" si="1"/>
        <v>264</v>
      </c>
      <c r="T16" s="6">
        <f t="shared" si="2"/>
        <v>0</v>
      </c>
      <c r="U16" s="6">
        <f t="shared" si="3"/>
        <v>3464</v>
      </c>
    </row>
    <row r="17" spans="1:21" x14ac:dyDescent="0.25">
      <c r="A17" s="2" t="s">
        <v>79</v>
      </c>
      <c r="B17" s="2">
        <v>1</v>
      </c>
      <c r="C17" s="2" t="s">
        <v>36</v>
      </c>
      <c r="D17" s="2" t="s">
        <v>80</v>
      </c>
      <c r="E17" s="2" t="s">
        <v>81</v>
      </c>
      <c r="F17" s="2">
        <v>40</v>
      </c>
      <c r="G17" s="3">
        <v>75</v>
      </c>
      <c r="H17" s="2" t="s">
        <v>39</v>
      </c>
      <c r="I17" s="2" t="s">
        <v>40</v>
      </c>
      <c r="J17" s="4">
        <v>0.21</v>
      </c>
      <c r="K17" s="2" t="s">
        <v>41</v>
      </c>
      <c r="L17" s="3">
        <v>25</v>
      </c>
      <c r="M17" s="2" t="s">
        <v>42</v>
      </c>
      <c r="N17" s="2" t="s">
        <v>43</v>
      </c>
      <c r="O17" s="2" t="s">
        <v>32</v>
      </c>
      <c r="P17" s="5">
        <v>46219</v>
      </c>
      <c r="Q17" s="5">
        <v>46246</v>
      </c>
      <c r="R17" s="6">
        <f t="shared" si="0"/>
        <v>3000</v>
      </c>
      <c r="S17" s="6">
        <f t="shared" si="1"/>
        <v>630</v>
      </c>
      <c r="T17" s="6">
        <f t="shared" si="2"/>
        <v>25</v>
      </c>
      <c r="U17" s="6">
        <f t="shared" si="3"/>
        <v>3655</v>
      </c>
    </row>
    <row r="18" spans="1:21" x14ac:dyDescent="0.25">
      <c r="A18" s="2" t="s">
        <v>79</v>
      </c>
      <c r="B18" s="2">
        <v>2</v>
      </c>
      <c r="C18" s="2" t="s">
        <v>36</v>
      </c>
      <c r="D18" s="2" t="s">
        <v>82</v>
      </c>
      <c r="E18" s="2" t="s">
        <v>83</v>
      </c>
      <c r="F18" s="2">
        <v>20</v>
      </c>
      <c r="G18" s="3">
        <v>140</v>
      </c>
      <c r="H18" s="2" t="s">
        <v>39</v>
      </c>
      <c r="I18" s="2" t="s">
        <v>40</v>
      </c>
      <c r="J18" s="4">
        <v>0.21</v>
      </c>
      <c r="K18" s="2" t="s">
        <v>41</v>
      </c>
      <c r="L18" s="3">
        <v>25</v>
      </c>
      <c r="M18" s="2" t="s">
        <v>42</v>
      </c>
      <c r="N18" s="2" t="s">
        <v>43</v>
      </c>
      <c r="O18" s="2" t="s">
        <v>32</v>
      </c>
      <c r="P18" s="5">
        <v>46219</v>
      </c>
      <c r="Q18" s="5">
        <v>46246</v>
      </c>
      <c r="R18" s="6">
        <f t="shared" si="0"/>
        <v>2800</v>
      </c>
      <c r="S18" s="6">
        <f t="shared" si="1"/>
        <v>588</v>
      </c>
      <c r="T18" s="6">
        <f t="shared" si="2"/>
        <v>25</v>
      </c>
      <c r="U18" s="6">
        <f t="shared" si="3"/>
        <v>3413</v>
      </c>
    </row>
    <row r="19" spans="1:21" x14ac:dyDescent="0.25">
      <c r="A19" s="2" t="s">
        <v>84</v>
      </c>
      <c r="B19" s="2">
        <v>1</v>
      </c>
      <c r="C19" s="2" t="s">
        <v>85</v>
      </c>
      <c r="D19" s="2" t="s">
        <v>86</v>
      </c>
      <c r="E19" s="2" t="s">
        <v>87</v>
      </c>
      <c r="F19" s="2">
        <v>60</v>
      </c>
      <c r="G19" s="3">
        <v>420</v>
      </c>
      <c r="H19" s="2" t="s">
        <v>88</v>
      </c>
      <c r="I19" s="2" t="s">
        <v>89</v>
      </c>
      <c r="J19" s="4">
        <v>0.25</v>
      </c>
      <c r="K19" s="2" t="s">
        <v>41</v>
      </c>
      <c r="L19" s="3">
        <v>600</v>
      </c>
      <c r="M19" s="2" t="s">
        <v>90</v>
      </c>
      <c r="N19" s="2" t="s">
        <v>91</v>
      </c>
      <c r="O19" s="2" t="s">
        <v>32</v>
      </c>
      <c r="P19" s="5">
        <v>46221</v>
      </c>
      <c r="Q19" s="5">
        <v>46248</v>
      </c>
      <c r="R19" s="6">
        <f t="shared" si="0"/>
        <v>25200</v>
      </c>
      <c r="S19" s="6">
        <f t="shared" si="1"/>
        <v>6300</v>
      </c>
      <c r="T19" s="6">
        <f t="shared" si="2"/>
        <v>600</v>
      </c>
      <c r="U19" s="6">
        <f t="shared" si="3"/>
        <v>32100</v>
      </c>
    </row>
    <row r="20" spans="1:21" x14ac:dyDescent="0.25">
      <c r="A20" s="2" t="s">
        <v>84</v>
      </c>
      <c r="B20" s="2">
        <v>2</v>
      </c>
      <c r="C20" s="2" t="s">
        <v>85</v>
      </c>
      <c r="D20" s="2" t="s">
        <v>92</v>
      </c>
      <c r="E20" s="2" t="s">
        <v>93</v>
      </c>
      <c r="F20" s="2">
        <v>120</v>
      </c>
      <c r="G20" s="3">
        <v>95</v>
      </c>
      <c r="H20" s="2" t="s">
        <v>88</v>
      </c>
      <c r="I20" s="2" t="s">
        <v>89</v>
      </c>
      <c r="J20" s="4">
        <v>0.25</v>
      </c>
      <c r="K20" s="2" t="s">
        <v>41</v>
      </c>
      <c r="L20" s="3">
        <v>300</v>
      </c>
      <c r="M20" s="2" t="s">
        <v>90</v>
      </c>
      <c r="N20" s="2" t="s">
        <v>91</v>
      </c>
      <c r="O20" s="2" t="s">
        <v>32</v>
      </c>
      <c r="P20" s="5">
        <v>46221</v>
      </c>
      <c r="Q20" s="5">
        <v>46248</v>
      </c>
      <c r="R20" s="6">
        <f t="shared" si="0"/>
        <v>11400</v>
      </c>
      <c r="S20" s="6">
        <f t="shared" si="1"/>
        <v>2850</v>
      </c>
      <c r="T20" s="6">
        <f t="shared" si="2"/>
        <v>300</v>
      </c>
      <c r="U20" s="6">
        <f t="shared" si="3"/>
        <v>14550</v>
      </c>
    </row>
    <row r="21" spans="1:21" x14ac:dyDescent="0.25">
      <c r="A21" s="2" t="s">
        <v>84</v>
      </c>
      <c r="B21" s="2">
        <v>3</v>
      </c>
      <c r="C21" s="2" t="s">
        <v>85</v>
      </c>
      <c r="D21" s="2" t="s">
        <v>94</v>
      </c>
      <c r="E21" s="2" t="s">
        <v>95</v>
      </c>
      <c r="F21" s="2">
        <v>80</v>
      </c>
      <c r="G21" s="3">
        <v>160</v>
      </c>
      <c r="H21" s="2" t="s">
        <v>88</v>
      </c>
      <c r="I21" s="2" t="s">
        <v>89</v>
      </c>
      <c r="J21" s="4">
        <v>0.25</v>
      </c>
      <c r="K21" s="2" t="s">
        <v>41</v>
      </c>
      <c r="L21" s="3">
        <v>300</v>
      </c>
      <c r="M21" s="2" t="s">
        <v>90</v>
      </c>
      <c r="N21" s="2" t="s">
        <v>91</v>
      </c>
      <c r="O21" s="2" t="s">
        <v>32</v>
      </c>
      <c r="P21" s="5">
        <v>46221</v>
      </c>
      <c r="Q21" s="5">
        <v>46248</v>
      </c>
      <c r="R21" s="6">
        <f t="shared" si="0"/>
        <v>12800</v>
      </c>
      <c r="S21" s="6">
        <f t="shared" si="1"/>
        <v>3200</v>
      </c>
      <c r="T21" s="6">
        <f t="shared" si="2"/>
        <v>300</v>
      </c>
      <c r="U21" s="6">
        <f t="shared" si="3"/>
        <v>16300</v>
      </c>
    </row>
    <row r="22" spans="1:21" x14ac:dyDescent="0.25">
      <c r="A22" s="2" t="s">
        <v>96</v>
      </c>
      <c r="B22" s="2">
        <v>1</v>
      </c>
      <c r="C22" s="2" t="s">
        <v>97</v>
      </c>
      <c r="D22" s="2" t="s">
        <v>98</v>
      </c>
      <c r="E22" s="2" t="s">
        <v>99</v>
      </c>
      <c r="F22" s="2">
        <v>1</v>
      </c>
      <c r="G22" s="3">
        <v>4800</v>
      </c>
      <c r="H22" s="2" t="s">
        <v>100</v>
      </c>
      <c r="I22" s="2" t="s">
        <v>101</v>
      </c>
      <c r="J22" s="4">
        <v>0.1</v>
      </c>
      <c r="K22" s="2" t="s">
        <v>29</v>
      </c>
      <c r="L22" s="3">
        <v>0</v>
      </c>
      <c r="M22" s="2" t="s">
        <v>102</v>
      </c>
      <c r="N22" s="2" t="s">
        <v>103</v>
      </c>
      <c r="O22" s="2" t="s">
        <v>32</v>
      </c>
      <c r="P22" s="5">
        <v>46223</v>
      </c>
      <c r="Q22" s="5">
        <v>46254</v>
      </c>
      <c r="R22" s="6">
        <f t="shared" si="0"/>
        <v>4800</v>
      </c>
      <c r="S22" s="6">
        <f t="shared" si="1"/>
        <v>480</v>
      </c>
      <c r="T22" s="6">
        <f t="shared" si="2"/>
        <v>0</v>
      </c>
      <c r="U22" s="6">
        <f t="shared" si="3"/>
        <v>5280</v>
      </c>
    </row>
    <row r="23" spans="1:21" x14ac:dyDescent="0.25">
      <c r="A23" s="2" t="s">
        <v>96</v>
      </c>
      <c r="B23" s="2">
        <v>2</v>
      </c>
      <c r="C23" s="2" t="s">
        <v>97</v>
      </c>
      <c r="D23" s="2" t="s">
        <v>104</v>
      </c>
      <c r="E23" s="2" t="s">
        <v>105</v>
      </c>
      <c r="F23" s="2">
        <v>20</v>
      </c>
      <c r="G23" s="3">
        <v>180</v>
      </c>
      <c r="H23" s="2" t="s">
        <v>100</v>
      </c>
      <c r="I23" s="2" t="s">
        <v>101</v>
      </c>
      <c r="J23" s="4">
        <v>0.1</v>
      </c>
      <c r="K23" s="2" t="s">
        <v>41</v>
      </c>
      <c r="L23" s="3">
        <v>250</v>
      </c>
      <c r="M23" s="2" t="s">
        <v>102</v>
      </c>
      <c r="N23" s="2" t="s">
        <v>103</v>
      </c>
      <c r="O23" s="2" t="s">
        <v>32</v>
      </c>
      <c r="P23" s="5">
        <v>46223</v>
      </c>
      <c r="Q23" s="5">
        <v>46254</v>
      </c>
      <c r="R23" s="6">
        <f t="shared" si="0"/>
        <v>3600</v>
      </c>
      <c r="S23" s="6">
        <f t="shared" si="1"/>
        <v>360</v>
      </c>
      <c r="T23" s="6">
        <f t="shared" si="2"/>
        <v>250</v>
      </c>
      <c r="U23" s="6">
        <f t="shared" si="3"/>
        <v>4210</v>
      </c>
    </row>
    <row r="24" spans="1:21" x14ac:dyDescent="0.25">
      <c r="A24" s="2" t="s">
        <v>96</v>
      </c>
      <c r="B24" s="2">
        <v>3</v>
      </c>
      <c r="C24" s="2" t="s">
        <v>97</v>
      </c>
      <c r="D24" s="2" t="s">
        <v>106</v>
      </c>
      <c r="E24" s="2" t="s">
        <v>107</v>
      </c>
      <c r="F24" s="2">
        <v>5</v>
      </c>
      <c r="G24" s="3">
        <v>350</v>
      </c>
      <c r="H24" s="2" t="s">
        <v>100</v>
      </c>
      <c r="I24" s="2" t="s">
        <v>101</v>
      </c>
      <c r="J24" s="4">
        <v>0.1</v>
      </c>
      <c r="K24" s="2" t="s">
        <v>29</v>
      </c>
      <c r="L24" s="3">
        <v>0</v>
      </c>
      <c r="M24" s="2" t="s">
        <v>102</v>
      </c>
      <c r="N24" s="2" t="s">
        <v>103</v>
      </c>
      <c r="O24" s="2" t="s">
        <v>108</v>
      </c>
      <c r="P24" s="5">
        <v>46223</v>
      </c>
      <c r="Q24" s="5">
        <v>46254</v>
      </c>
      <c r="R24" s="6">
        <f t="shared" si="0"/>
        <v>1750</v>
      </c>
      <c r="S24" s="6">
        <f t="shared" si="1"/>
        <v>175</v>
      </c>
      <c r="T24" s="6">
        <f t="shared" si="2"/>
        <v>0</v>
      </c>
      <c r="U24" s="6">
        <f t="shared" si="3"/>
        <v>1925</v>
      </c>
    </row>
    <row r="25" spans="1:21" x14ac:dyDescent="0.25">
      <c r="A25" s="2" t="s">
        <v>109</v>
      </c>
      <c r="B25" s="2">
        <v>1</v>
      </c>
      <c r="C25" s="2" t="s">
        <v>110</v>
      </c>
      <c r="D25" s="2" t="s">
        <v>111</v>
      </c>
      <c r="E25" s="2" t="s">
        <v>112</v>
      </c>
      <c r="F25" s="2">
        <v>6</v>
      </c>
      <c r="G25" s="3">
        <v>1450</v>
      </c>
      <c r="H25" s="2" t="s">
        <v>27</v>
      </c>
      <c r="I25" s="2" t="s">
        <v>113</v>
      </c>
      <c r="J25" s="4">
        <v>6.5000000000000002E-2</v>
      </c>
      <c r="K25" s="2" t="s">
        <v>41</v>
      </c>
      <c r="L25" s="3">
        <v>120</v>
      </c>
      <c r="M25" s="2" t="s">
        <v>114</v>
      </c>
      <c r="N25" s="2" t="s">
        <v>115</v>
      </c>
      <c r="O25" s="2" t="s">
        <v>32</v>
      </c>
      <c r="P25" s="5">
        <v>46225</v>
      </c>
      <c r="Q25" s="5">
        <v>46256</v>
      </c>
      <c r="R25" s="6">
        <f t="shared" si="0"/>
        <v>8700</v>
      </c>
      <c r="S25" s="6">
        <f t="shared" si="1"/>
        <v>565.5</v>
      </c>
      <c r="T25" s="6">
        <f t="shared" si="2"/>
        <v>120</v>
      </c>
      <c r="U25" s="6">
        <f t="shared" si="3"/>
        <v>9385.5</v>
      </c>
    </row>
    <row r="26" spans="1:21" x14ac:dyDescent="0.25">
      <c r="A26" s="2" t="s">
        <v>109</v>
      </c>
      <c r="B26" s="2">
        <v>2</v>
      </c>
      <c r="C26" s="2" t="s">
        <v>110</v>
      </c>
      <c r="D26" s="2" t="s">
        <v>116</v>
      </c>
      <c r="E26" s="2" t="s">
        <v>117</v>
      </c>
      <c r="F26" s="2">
        <v>12</v>
      </c>
      <c r="G26" s="3">
        <v>620</v>
      </c>
      <c r="H26" s="2" t="s">
        <v>27</v>
      </c>
      <c r="I26" s="2" t="s">
        <v>113</v>
      </c>
      <c r="J26" s="4">
        <v>6.5000000000000002E-2</v>
      </c>
      <c r="K26" s="2" t="s">
        <v>41</v>
      </c>
      <c r="L26" s="3">
        <v>100</v>
      </c>
      <c r="M26" s="2" t="s">
        <v>114</v>
      </c>
      <c r="N26" s="2" t="s">
        <v>115</v>
      </c>
      <c r="O26" s="2" t="s">
        <v>32</v>
      </c>
      <c r="P26" s="5">
        <v>46225</v>
      </c>
      <c r="Q26" s="5">
        <v>46256</v>
      </c>
      <c r="R26" s="6">
        <f t="shared" si="0"/>
        <v>7440</v>
      </c>
      <c r="S26" s="6">
        <f t="shared" si="1"/>
        <v>483.6</v>
      </c>
      <c r="T26" s="6">
        <f t="shared" si="2"/>
        <v>100</v>
      </c>
      <c r="U26" s="6">
        <f t="shared" si="3"/>
        <v>8023.6</v>
      </c>
    </row>
    <row r="27" spans="1:21" x14ac:dyDescent="0.25">
      <c r="A27" s="2" t="s">
        <v>109</v>
      </c>
      <c r="B27" s="2">
        <v>3</v>
      </c>
      <c r="C27" s="2" t="s">
        <v>110</v>
      </c>
      <c r="D27" s="2" t="s">
        <v>118</v>
      </c>
      <c r="E27" s="2" t="s">
        <v>119</v>
      </c>
      <c r="F27" s="2">
        <v>2</v>
      </c>
      <c r="G27" s="3">
        <v>2100</v>
      </c>
      <c r="H27" s="2" t="s">
        <v>27</v>
      </c>
      <c r="I27" s="2" t="s">
        <v>113</v>
      </c>
      <c r="J27" s="4">
        <v>6.5000000000000002E-2</v>
      </c>
      <c r="K27" s="2" t="s">
        <v>41</v>
      </c>
      <c r="L27" s="3">
        <v>150</v>
      </c>
      <c r="M27" s="2" t="s">
        <v>114</v>
      </c>
      <c r="N27" s="2" t="s">
        <v>115</v>
      </c>
      <c r="O27" s="2" t="s">
        <v>32</v>
      </c>
      <c r="P27" s="5">
        <v>46225</v>
      </c>
      <c r="Q27" s="5">
        <v>46256</v>
      </c>
      <c r="R27" s="6">
        <f t="shared" si="0"/>
        <v>4200</v>
      </c>
      <c r="S27" s="6">
        <f t="shared" si="1"/>
        <v>273</v>
      </c>
      <c r="T27" s="6">
        <f t="shared" si="2"/>
        <v>150</v>
      </c>
      <c r="U27" s="6">
        <f t="shared" si="3"/>
        <v>4623</v>
      </c>
    </row>
    <row r="28" spans="1:21" x14ac:dyDescent="0.25">
      <c r="A28" s="2" t="s">
        <v>109</v>
      </c>
      <c r="B28" s="2">
        <v>4</v>
      </c>
      <c r="C28" s="2" t="s">
        <v>110</v>
      </c>
      <c r="D28" s="2" t="s">
        <v>120</v>
      </c>
      <c r="E28" s="2" t="s">
        <v>121</v>
      </c>
      <c r="F28" s="2">
        <v>4</v>
      </c>
      <c r="G28" s="3">
        <v>1250</v>
      </c>
      <c r="H28" s="2" t="s">
        <v>27</v>
      </c>
      <c r="I28" s="2" t="s">
        <v>113</v>
      </c>
      <c r="J28" s="4">
        <v>6.5000000000000002E-2</v>
      </c>
      <c r="K28" s="2" t="s">
        <v>29</v>
      </c>
      <c r="L28" s="3">
        <v>0</v>
      </c>
      <c r="M28" s="2" t="s">
        <v>114</v>
      </c>
      <c r="N28" s="2" t="s">
        <v>115</v>
      </c>
      <c r="O28" s="2" t="s">
        <v>32</v>
      </c>
      <c r="P28" s="5">
        <v>46225</v>
      </c>
      <c r="Q28" s="5">
        <v>46256</v>
      </c>
      <c r="R28" s="6">
        <f t="shared" si="0"/>
        <v>5000</v>
      </c>
      <c r="S28" s="6">
        <f t="shared" si="1"/>
        <v>325</v>
      </c>
      <c r="T28" s="6">
        <f t="shared" si="2"/>
        <v>0</v>
      </c>
      <c r="U28" s="6">
        <f t="shared" si="3"/>
        <v>5325</v>
      </c>
    </row>
  </sheetData>
  <mergeCells count="2">
    <mergeCell ref="A1:U1"/>
    <mergeCell ref="A2:U2"/>
  </mergeCells>
  <conditionalFormatting sqref="O5:O28">
    <cfRule type="expression" dxfId="0" priority="1">
      <formula>O5&lt;&gt;"Approved"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4" width="12" customWidth="1"/>
    <col min="5" max="5" width="14" customWidth="1"/>
    <col min="6" max="6" width="18" customWidth="1"/>
    <col min="7" max="7" width="20" customWidth="1"/>
  </cols>
  <sheetData>
    <row r="1" spans="1:7" ht="30" customHeight="1" x14ac:dyDescent="0.25">
      <c r="A1" s="10" t="s">
        <v>122</v>
      </c>
      <c r="B1" s="11"/>
      <c r="C1" s="11"/>
      <c r="D1" s="11"/>
      <c r="E1" s="11"/>
      <c r="F1" s="11"/>
      <c r="G1" s="11"/>
    </row>
    <row r="2" spans="1:7" ht="27.95" customHeight="1" x14ac:dyDescent="0.25">
      <c r="A2" s="12" t="s">
        <v>123</v>
      </c>
      <c r="B2" s="11"/>
      <c r="C2" s="11"/>
      <c r="D2" s="11"/>
      <c r="E2" s="11"/>
      <c r="F2" s="11"/>
      <c r="G2" s="11"/>
    </row>
    <row r="4" spans="1:7" ht="33.950000000000003" customHeight="1" x14ac:dyDescent="0.25">
      <c r="A4" s="1" t="s">
        <v>2</v>
      </c>
      <c r="B4" s="1" t="s">
        <v>4</v>
      </c>
      <c r="C4" s="1" t="s">
        <v>9</v>
      </c>
      <c r="D4" s="1" t="s">
        <v>124</v>
      </c>
      <c r="E4" s="1" t="s">
        <v>7</v>
      </c>
      <c r="F4" s="1" t="s">
        <v>125</v>
      </c>
      <c r="G4" s="1" t="s">
        <v>126</v>
      </c>
    </row>
    <row r="5" spans="1:7" x14ac:dyDescent="0.25">
      <c r="A5" s="2" t="s">
        <v>23</v>
      </c>
      <c r="B5" s="2" t="s">
        <v>24</v>
      </c>
      <c r="C5" s="2" t="s">
        <v>27</v>
      </c>
      <c r="D5" s="7">
        <f>COUNTIF('PO Lines'!A:A,A5)</f>
        <v>2</v>
      </c>
      <c r="E5" s="8">
        <f>SUMIF('PO Lines'!A:A,A5,'PO Lines'!F:F)</f>
        <v>30</v>
      </c>
      <c r="F5" s="9">
        <f>SUMIF('PO Lines'!A:A,A5,'PO Lines'!R:R)</f>
        <v>13700</v>
      </c>
      <c r="G5" s="9">
        <f>SUMIF('PO Lines'!A:A,A5,'PO Lines'!U:U)</f>
        <v>14830.25</v>
      </c>
    </row>
    <row r="6" spans="1:7" x14ac:dyDescent="0.25">
      <c r="A6" s="2" t="s">
        <v>35</v>
      </c>
      <c r="B6" s="2" t="s">
        <v>36</v>
      </c>
      <c r="C6" s="2" t="s">
        <v>39</v>
      </c>
      <c r="D6" s="7">
        <f>COUNTIF('PO Lines'!A:A,A6)</f>
        <v>2</v>
      </c>
      <c r="E6" s="8">
        <f>SUMIF('PO Lines'!A:A,A6,'PO Lines'!F:F)</f>
        <v>35</v>
      </c>
      <c r="F6" s="9">
        <f>SUMIF('PO Lines'!A:A,A6,'PO Lines'!R:R)</f>
        <v>6500</v>
      </c>
      <c r="G6" s="9">
        <f>SUMIF('PO Lines'!A:A,A6,'PO Lines'!U:U)</f>
        <v>7940</v>
      </c>
    </row>
    <row r="7" spans="1:7" x14ac:dyDescent="0.25">
      <c r="A7" s="2" t="s">
        <v>46</v>
      </c>
      <c r="B7" s="2" t="s">
        <v>47</v>
      </c>
      <c r="C7" s="2" t="s">
        <v>39</v>
      </c>
      <c r="D7" s="7">
        <f>COUNTIF('PO Lines'!A:A,A7)</f>
        <v>2</v>
      </c>
      <c r="E7" s="8">
        <f>SUMIF('PO Lines'!A:A,A7,'PO Lines'!F:F)</f>
        <v>28</v>
      </c>
      <c r="F7" s="9">
        <f>SUMIF('PO Lines'!A:A,A7,'PO Lines'!R:R)</f>
        <v>8100</v>
      </c>
      <c r="G7" s="9">
        <f>SUMIF('PO Lines'!A:A,A7,'PO Lines'!U:U)</f>
        <v>9639</v>
      </c>
    </row>
    <row r="8" spans="1:7" x14ac:dyDescent="0.25">
      <c r="A8" s="2" t="s">
        <v>55</v>
      </c>
      <c r="B8" s="2" t="s">
        <v>56</v>
      </c>
      <c r="C8" s="2" t="s">
        <v>27</v>
      </c>
      <c r="D8" s="7">
        <f>COUNTIF('PO Lines'!A:A,A8)</f>
        <v>2</v>
      </c>
      <c r="E8" s="8">
        <f>SUMIF('PO Lines'!A:A,A8,'PO Lines'!F:F)</f>
        <v>150</v>
      </c>
      <c r="F8" s="9">
        <f>SUMIF('PO Lines'!A:A,A8,'PO Lines'!R:R)</f>
        <v>2100</v>
      </c>
      <c r="G8" s="9">
        <f>SUMIF('PO Lines'!A:A,A8,'PO Lines'!U:U)</f>
        <v>2292.25</v>
      </c>
    </row>
    <row r="9" spans="1:7" x14ac:dyDescent="0.25">
      <c r="A9" s="2" t="s">
        <v>64</v>
      </c>
      <c r="B9" s="2" t="s">
        <v>65</v>
      </c>
      <c r="C9" s="2" t="s">
        <v>68</v>
      </c>
      <c r="D9" s="7">
        <f>COUNTIF('PO Lines'!A:A,A9)</f>
        <v>2</v>
      </c>
      <c r="E9" s="8">
        <f>SUMIF('PO Lines'!A:A,A9,'PO Lines'!F:F)</f>
        <v>45</v>
      </c>
      <c r="F9" s="9">
        <f>SUMIF('PO Lines'!A:A,A9,'PO Lines'!R:R)</f>
        <v>4590</v>
      </c>
      <c r="G9" s="9">
        <f>SUMIF('PO Lines'!A:A,A9,'PO Lines'!U:U)</f>
        <v>5508</v>
      </c>
    </row>
    <row r="10" spans="1:7" x14ac:dyDescent="0.25">
      <c r="A10" s="2" t="s">
        <v>74</v>
      </c>
      <c r="B10" s="2" t="s">
        <v>24</v>
      </c>
      <c r="C10" s="2" t="s">
        <v>27</v>
      </c>
      <c r="D10" s="7">
        <f>COUNTIF('PO Lines'!A:A,A10)</f>
        <v>2</v>
      </c>
      <c r="E10" s="8">
        <f>SUMIF('PO Lines'!A:A,A10,'PO Lines'!F:F)</f>
        <v>16</v>
      </c>
      <c r="F10" s="9">
        <f>SUMIF('PO Lines'!A:A,A10,'PO Lines'!R:R)</f>
        <v>6800</v>
      </c>
      <c r="G10" s="9">
        <f>SUMIF('PO Lines'!A:A,A10,'PO Lines'!U:U)</f>
        <v>7361</v>
      </c>
    </row>
    <row r="11" spans="1:7" x14ac:dyDescent="0.25">
      <c r="A11" s="2" t="s">
        <v>79</v>
      </c>
      <c r="B11" s="2" t="s">
        <v>36</v>
      </c>
      <c r="C11" s="2" t="s">
        <v>39</v>
      </c>
      <c r="D11" s="7">
        <f>COUNTIF('PO Lines'!A:A,A11)</f>
        <v>2</v>
      </c>
      <c r="E11" s="8">
        <f>SUMIF('PO Lines'!A:A,A11,'PO Lines'!F:F)</f>
        <v>60</v>
      </c>
      <c r="F11" s="9">
        <f>SUMIF('PO Lines'!A:A,A11,'PO Lines'!R:R)</f>
        <v>5800</v>
      </c>
      <c r="G11" s="9">
        <f>SUMIF('PO Lines'!A:A,A11,'PO Lines'!U:U)</f>
        <v>7068</v>
      </c>
    </row>
    <row r="12" spans="1:7" x14ac:dyDescent="0.25">
      <c r="A12" s="2" t="s">
        <v>84</v>
      </c>
      <c r="B12" s="2" t="s">
        <v>85</v>
      </c>
      <c r="C12" s="2" t="s">
        <v>88</v>
      </c>
      <c r="D12" s="7">
        <f>COUNTIF('PO Lines'!A:A,A12)</f>
        <v>3</v>
      </c>
      <c r="E12" s="8">
        <f>SUMIF('PO Lines'!A:A,A12,'PO Lines'!F:F)</f>
        <v>260</v>
      </c>
      <c r="F12" s="9">
        <f>SUMIF('PO Lines'!A:A,A12,'PO Lines'!R:R)</f>
        <v>49400</v>
      </c>
      <c r="G12" s="9">
        <f>SUMIF('PO Lines'!A:A,A12,'PO Lines'!U:U)</f>
        <v>62950</v>
      </c>
    </row>
    <row r="13" spans="1:7" x14ac:dyDescent="0.25">
      <c r="A13" s="2" t="s">
        <v>96</v>
      </c>
      <c r="B13" s="2" t="s">
        <v>97</v>
      </c>
      <c r="C13" s="2" t="s">
        <v>100</v>
      </c>
      <c r="D13" s="7">
        <f>COUNTIF('PO Lines'!A:A,A13)</f>
        <v>3</v>
      </c>
      <c r="E13" s="8">
        <f>SUMIF('PO Lines'!A:A,A13,'PO Lines'!F:F)</f>
        <v>26</v>
      </c>
      <c r="F13" s="9">
        <f>SUMIF('PO Lines'!A:A,A13,'PO Lines'!R:R)</f>
        <v>10150</v>
      </c>
      <c r="G13" s="9">
        <f>SUMIF('PO Lines'!A:A,A13,'PO Lines'!U:U)</f>
        <v>11415</v>
      </c>
    </row>
    <row r="14" spans="1:7" x14ac:dyDescent="0.25">
      <c r="A14" s="2" t="s">
        <v>109</v>
      </c>
      <c r="B14" s="2" t="s">
        <v>110</v>
      </c>
      <c r="C14" s="2" t="s">
        <v>27</v>
      </c>
      <c r="D14" s="7">
        <f>COUNTIF('PO Lines'!A:A,A14)</f>
        <v>4</v>
      </c>
      <c r="E14" s="8">
        <f>SUMIF('PO Lines'!A:A,A14,'PO Lines'!F:F)</f>
        <v>24</v>
      </c>
      <c r="F14" s="9">
        <f>SUMIF('PO Lines'!A:A,A14,'PO Lines'!R:R)</f>
        <v>25340</v>
      </c>
      <c r="G14" s="9">
        <f>SUMIF('PO Lines'!A:A,A14,'PO Lines'!U:U)</f>
        <v>27357.1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PO Lines</vt:lpstr>
      <vt:lpstr>PO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Jens Schneider</cp:lastModifiedBy>
  <dcterms:created xsi:type="dcterms:W3CDTF">2026-08-14T10:21:29Z</dcterms:created>
  <dcterms:modified xsi:type="dcterms:W3CDTF">2026-08-14T10:21:31Z</dcterms:modified>
</cp:coreProperties>
</file>